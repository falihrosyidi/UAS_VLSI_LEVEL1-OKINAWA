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Falih\VLSI\UAS_VLSI_LEVEL1-OKINAWA\Model\"/>
    </mc:Choice>
  </mc:AlternateContent>
  <xr:revisionPtr revIDLastSave="0" documentId="13_ncr:1_{3E19D802-04E4-4E75-904B-F2C229F5D79A}" xr6:coauthVersionLast="47" xr6:coauthVersionMax="47" xr10:uidLastSave="{00000000-0000-0000-0000-000000000000}"/>
  <bookViews>
    <workbookView xWindow="-110" yWindow="-110" windowWidth="19420" windowHeight="10560" xr2:uid="{BC1E68C2-0043-4054-A1D8-E8690D7E9366}"/>
  </bookViews>
  <sheets>
    <sheet name="Perbandingan_Data" sheetId="2" r:id="rId1"/>
    <sheet name="Hasil_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2" l="1"/>
  <c r="A39" i="2"/>
  <c r="H5" i="2"/>
  <c r="H4" i="2"/>
  <c r="H7" i="2"/>
  <c r="H6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</calcChain>
</file>

<file path=xl/sharedStrings.xml><?xml version="1.0" encoding="utf-8"?>
<sst xmlns="http://schemas.openxmlformats.org/spreadsheetml/2006/main" count="84" uniqueCount="55">
  <si>
    <t>Input</t>
  </si>
  <si>
    <t>[1,0] cross</t>
  </si>
  <si>
    <t>[0,1] circle</t>
  </si>
  <si>
    <t>[1,0] circle</t>
  </si>
  <si>
    <t>Hex Keluaran Gen</t>
  </si>
  <si>
    <t>Konversi Keluaran Generator</t>
  </si>
  <si>
    <t>00FA13C3</t>
  </si>
  <si>
    <t>00FA5033</t>
  </si>
  <si>
    <t>00FA089D</t>
  </si>
  <si>
    <t>00FA64CD</t>
  </si>
  <si>
    <t>FF0597D1</t>
  </si>
  <si>
    <t>00FA8D02</t>
  </si>
  <si>
    <t>00FA65C1</t>
  </si>
  <si>
    <t>00FAB650</t>
  </si>
  <si>
    <t>00FA67C4</t>
  </si>
  <si>
    <t>00FA0691</t>
  </si>
  <si>
    <t>00FA3A1D</t>
  </si>
  <si>
    <t>00F9FD50</t>
  </si>
  <si>
    <t>00FA6BEB</t>
  </si>
  <si>
    <t>FF059235</t>
  </si>
  <si>
    <t>00FA98AE</t>
  </si>
  <si>
    <t>00FA4D5D</t>
  </si>
  <si>
    <t>00FAC8FB</t>
  </si>
  <si>
    <t>00FA7CA7</t>
  </si>
  <si>
    <t>[0,1] cross</t>
  </si>
  <si>
    <t>FF05BB2E</t>
  </si>
  <si>
    <t>00FAC75F</t>
  </si>
  <si>
    <t>FF05AA0E</t>
  </si>
  <si>
    <t>00FAA41F</t>
  </si>
  <si>
    <t>00FA6D0A</t>
  </si>
  <si>
    <t>00FA8DF0</t>
  </si>
  <si>
    <t>FF05B968</t>
  </si>
  <si>
    <t>00FA5171</t>
  </si>
  <si>
    <t>FF0533C0</t>
  </si>
  <si>
    <t>FF05AFFE</t>
  </si>
  <si>
    <t>00FAD3F0</t>
  </si>
  <si>
    <t>FF058AAC</t>
  </si>
  <si>
    <t>00FAA69A</t>
  </si>
  <si>
    <t>00FA8888</t>
  </si>
  <si>
    <t>00FA8BE2</t>
  </si>
  <si>
    <t>FF05A2C4</t>
  </si>
  <si>
    <t>00FA6233</t>
  </si>
  <si>
    <t>FF0525F1</t>
  </si>
  <si>
    <t>Hex Keluaran Disc</t>
  </si>
  <si>
    <t>Konversi Keluaran Discrimi</t>
  </si>
  <si>
    <t>0079A651</t>
  </si>
  <si>
    <t>0079A278</t>
  </si>
  <si>
    <t>00786BBB</t>
  </si>
  <si>
    <t>00789CC8</t>
  </si>
  <si>
    <t>Perbandingan data (xfake keluaran generator)</t>
  </si>
  <si>
    <t>Error (%)</t>
  </si>
  <si>
    <t>Hardware</t>
  </si>
  <si>
    <t>Software</t>
  </si>
  <si>
    <t>Perbandingan data (keluaran discriminator)</t>
  </si>
  <si>
    <t>Error(%)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</si>
</sst>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A6820-1F16-48A7-9BF6-A465BE183A72}">
  <dimension ref="A1:L39"/>
  <sheetViews>
    <sheetView tabSelected="1" topLeftCell="A16" zoomScale="89" workbookViewId="0">
      <selection activeCell="H9" sqref="H9"/>
    </sheetView>
  </sheetViews>
  <sheetFormatPr defaultRowHeight="14.5" x14ac:dyDescent="0.35"/>
  <cols>
    <col min="1" max="1" width="14.54296875" customWidth="1"/>
    <col min="2" max="2" width="15.6328125" customWidth="1"/>
    <col min="3" max="3" width="17.26953125" customWidth="1"/>
    <col min="8" max="10" width="11.81640625" bestFit="1" customWidth="1"/>
    <col min="11" max="11" width="9.36328125" bestFit="1" customWidth="1"/>
  </cols>
  <sheetData>
    <row r="1" spans="1:12" x14ac:dyDescent="0.35">
      <c r="A1" s="5" t="s">
        <v>49</v>
      </c>
      <c r="B1" s="5"/>
      <c r="C1" s="5"/>
      <c r="D1" s="5"/>
    </row>
    <row r="2" spans="1:12" x14ac:dyDescent="0.35">
      <c r="A2" s="4" t="s">
        <v>50</v>
      </c>
      <c r="B2" s="4" t="s">
        <v>51</v>
      </c>
      <c r="C2" s="4" t="s">
        <v>52</v>
      </c>
      <c r="D2" s="3" t="s">
        <v>0</v>
      </c>
      <c r="H2" s="4" t="s">
        <v>53</v>
      </c>
      <c r="I2" s="4"/>
      <c r="J2" s="4"/>
      <c r="K2" s="1"/>
      <c r="L2" s="2"/>
    </row>
    <row r="3" spans="1:12" x14ac:dyDescent="0.35">
      <c r="A3" s="4">
        <f>ABS((C3-B3)*100/C3)</f>
        <v>2.7822665893749029E-3</v>
      </c>
      <c r="B3" s="4">
        <v>0.97686403989791804</v>
      </c>
      <c r="C3" s="4">
        <v>0.97689121961593595</v>
      </c>
      <c r="D3" s="5" t="s">
        <v>2</v>
      </c>
      <c r="H3" s="4" t="s">
        <v>54</v>
      </c>
      <c r="I3" s="4" t="s">
        <v>51</v>
      </c>
      <c r="J3" s="4" t="s">
        <v>52</v>
      </c>
      <c r="K3" s="3" t="s">
        <v>0</v>
      </c>
      <c r="L3" s="2"/>
    </row>
    <row r="4" spans="1:12" x14ac:dyDescent="0.35">
      <c r="A4" s="4">
        <f>ABS((C4-B4)*100/C4)</f>
        <v>3.3770017040902294E-3</v>
      </c>
      <c r="B4" s="4">
        <v>0.97778624296188299</v>
      </c>
      <c r="C4" s="4">
        <v>0.977819263935089</v>
      </c>
      <c r="D4" s="5"/>
      <c r="H4" s="4">
        <f>ABS((J4-I4)*100/J4)</f>
        <v>0.9182291277366218</v>
      </c>
      <c r="I4" s="4">
        <v>0.47519403696060097</v>
      </c>
      <c r="J4" s="4">
        <v>0.47087036808694599</v>
      </c>
      <c r="K4" s="4" t="s">
        <v>2</v>
      </c>
      <c r="L4" s="2"/>
    </row>
    <row r="5" spans="1:12" x14ac:dyDescent="0.35">
      <c r="A5" s="4">
        <f>ABS((C5-B5)*100/C5)</f>
        <v>2.9353097997888425E-3</v>
      </c>
      <c r="B5" s="4">
        <v>0.97669392824172896</v>
      </c>
      <c r="C5" s="4">
        <v>0.97672259807586703</v>
      </c>
      <c r="D5" s="5"/>
      <c r="H5" s="4">
        <f>ABS((J5-I5)*100/J5)</f>
        <v>0.92619806928547832</v>
      </c>
      <c r="I5" s="4">
        <v>0.47513532638549799</v>
      </c>
      <c r="J5" s="4">
        <v>0.470775017264912</v>
      </c>
      <c r="K5" s="4" t="s">
        <v>3</v>
      </c>
      <c r="L5" s="2"/>
    </row>
    <row r="6" spans="1:12" x14ac:dyDescent="0.35">
      <c r="A6" s="4">
        <f>ABS((C6-B6)*100/C6)</f>
        <v>4.1254120384877331E-3</v>
      </c>
      <c r="B6" s="4">
        <v>0.97810059785842896</v>
      </c>
      <c r="C6" s="4">
        <v>0.97814095020294201</v>
      </c>
      <c r="D6" s="5"/>
      <c r="H6" s="4">
        <f>ABS((J6-I6)*100/J6)</f>
        <v>0.69513367261435921</v>
      </c>
      <c r="I6" s="4">
        <v>0.47039383649826</v>
      </c>
      <c r="J6" s="4">
        <v>0.467146543573427</v>
      </c>
      <c r="K6" s="4" t="s">
        <v>24</v>
      </c>
      <c r="L6" s="2"/>
    </row>
    <row r="7" spans="1:12" x14ac:dyDescent="0.35">
      <c r="A7" s="4">
        <f>ABS((C7-B7)*100/C7)</f>
        <v>3.1755828684065381E-2</v>
      </c>
      <c r="B7" s="4">
        <v>-0.978152215480804</v>
      </c>
      <c r="C7" s="4">
        <v>-0.978462934494019</v>
      </c>
      <c r="D7" s="5"/>
      <c r="H7" s="4">
        <f>ABS((J7-I7)*100/J7)</f>
        <v>0.80103071274946891</v>
      </c>
      <c r="I7" s="4">
        <v>0.47114229202270502</v>
      </c>
      <c r="J7" s="4">
        <v>0.46739828818349</v>
      </c>
      <c r="K7" s="4" t="s">
        <v>1</v>
      </c>
      <c r="L7" s="2"/>
    </row>
    <row r="8" spans="1:12" x14ac:dyDescent="0.35">
      <c r="A8" s="4">
        <f>ABS((C8-B8)*100/C8)</f>
        <v>5.1702255661285083E-3</v>
      </c>
      <c r="B8" s="4">
        <v>0.97871410846710205</v>
      </c>
      <c r="C8" s="4">
        <v>0.97876471281051602</v>
      </c>
      <c r="D8" s="5"/>
      <c r="H8" s="4">
        <f>AVERAGE(H4:H7)</f>
        <v>0.83514789559648195</v>
      </c>
      <c r="I8" s="2"/>
      <c r="J8" s="2"/>
      <c r="K8" s="2"/>
      <c r="L8" s="2"/>
    </row>
    <row r="9" spans="1:12" x14ac:dyDescent="0.35">
      <c r="A9" s="4">
        <f>ABS((C9-B9)*100/C9)</f>
        <v>3.3149320076481248E-3</v>
      </c>
      <c r="B9" s="4">
        <v>0.97811514139175404</v>
      </c>
      <c r="C9" s="4">
        <v>0.97814756631851196</v>
      </c>
      <c r="D9" s="5"/>
      <c r="H9" s="2"/>
      <c r="I9" s="2"/>
      <c r="J9" s="2"/>
      <c r="K9" s="2"/>
      <c r="L9" s="2"/>
    </row>
    <row r="10" spans="1:12" x14ac:dyDescent="0.35">
      <c r="A10" s="4">
        <f>ABS((C10-B10)*100/C10)</f>
        <v>5.2277538836651158E-3</v>
      </c>
      <c r="B10" s="4">
        <v>0.97934436798095703</v>
      </c>
      <c r="C10" s="4">
        <v>0.97939556837081898</v>
      </c>
      <c r="D10" s="5"/>
      <c r="H10" s="2"/>
      <c r="I10" s="2"/>
      <c r="J10" s="2"/>
      <c r="K10" s="2"/>
      <c r="L10" s="2"/>
    </row>
    <row r="11" spans="1:12" x14ac:dyDescent="0.35">
      <c r="A11" s="4">
        <f>ABS((C11-B11)*100/C11)</f>
        <v>0.11951087373462976</v>
      </c>
      <c r="B11" s="4">
        <v>0.97934436798095703</v>
      </c>
      <c r="C11" s="4">
        <v>0.97817534208297696</v>
      </c>
      <c r="D11" s="5"/>
      <c r="H11" s="2"/>
      <c r="I11" s="2"/>
      <c r="J11" s="2"/>
      <c r="K11" s="2"/>
      <c r="L11" s="2"/>
    </row>
    <row r="12" spans="1:12" x14ac:dyDescent="0.35">
      <c r="A12" s="4">
        <f>ABS((C12-B12)*100/C12)</f>
        <v>3.0208390292141706E-3</v>
      </c>
      <c r="B12" s="4">
        <v>0.97666269540786699</v>
      </c>
      <c r="C12" s="4">
        <v>0.97669219970703103</v>
      </c>
      <c r="D12" s="5" t="s">
        <v>3</v>
      </c>
      <c r="H12" s="2"/>
      <c r="I12" s="2"/>
      <c r="J12" s="2"/>
      <c r="K12" s="2"/>
      <c r="L12" s="2"/>
    </row>
    <row r="13" spans="1:12" x14ac:dyDescent="0.35">
      <c r="A13" s="4">
        <f>ABS((C13-B13)*100/C13)</f>
        <v>3.2927999818757304E-3</v>
      </c>
      <c r="B13" s="4">
        <v>0.97744923830032304</v>
      </c>
      <c r="C13" s="4">
        <v>0.97748142480850198</v>
      </c>
      <c r="D13" s="5"/>
      <c r="H13" s="2"/>
      <c r="I13" s="2"/>
      <c r="J13" s="2"/>
      <c r="K13" s="2"/>
      <c r="L13" s="2"/>
    </row>
    <row r="14" spans="1:12" x14ac:dyDescent="0.35">
      <c r="A14" s="4">
        <f>ABS((C14-B14)*100/C14)</f>
        <v>3.4668222668214929E-3</v>
      </c>
      <c r="B14" s="4">
        <v>0.97652149200439398</v>
      </c>
      <c r="C14" s="4">
        <v>0.97655534744262695</v>
      </c>
      <c r="D14" s="5"/>
      <c r="H14" s="2"/>
      <c r="I14" s="2"/>
      <c r="J14" s="2"/>
      <c r="K14" s="2"/>
      <c r="L14" s="2"/>
    </row>
    <row r="15" spans="1:12" x14ac:dyDescent="0.35">
      <c r="A15" s="4">
        <f>ABS((C15-B15)*100/C15)</f>
        <v>5.3130239338508925E-3</v>
      </c>
      <c r="B15" s="4">
        <v>0.97820919752120905</v>
      </c>
      <c r="C15" s="4">
        <v>0.97826117277145397</v>
      </c>
      <c r="D15" s="5"/>
      <c r="H15" s="2"/>
      <c r="I15" s="2"/>
      <c r="J15" s="2"/>
      <c r="K15" s="2"/>
      <c r="L15" s="2"/>
    </row>
    <row r="16" spans="1:12" x14ac:dyDescent="0.35">
      <c r="A16" s="4">
        <f>ABS((C16-B16)*100/C16)</f>
        <v>1.4718673214026241E-2</v>
      </c>
      <c r="B16" s="4">
        <v>-0.97823780775070102</v>
      </c>
      <c r="C16" s="4">
        <v>-0.97838181257247903</v>
      </c>
      <c r="D16" s="5"/>
      <c r="L16" s="2"/>
    </row>
    <row r="17" spans="1:12" x14ac:dyDescent="0.35">
      <c r="A17" s="4">
        <f>ABS((C17-B17)*100/C17)</f>
        <v>6.4173831933433114E-3</v>
      </c>
      <c r="B17" s="4">
        <v>0.97889220714569003</v>
      </c>
      <c r="C17" s="4">
        <v>0.97895503044128396</v>
      </c>
      <c r="D17" s="5"/>
      <c r="L17" s="2"/>
    </row>
    <row r="18" spans="1:12" x14ac:dyDescent="0.35">
      <c r="A18" s="4">
        <f>ABS((C18-B18)*100/C18)</f>
        <v>2.9992141693686311E-3</v>
      </c>
      <c r="B18" s="4">
        <v>0.97774296998977595</v>
      </c>
      <c r="C18" s="4">
        <v>0.97777229547500599</v>
      </c>
      <c r="D18" s="5"/>
      <c r="L18" s="2"/>
    </row>
    <row r="19" spans="1:12" x14ac:dyDescent="0.35">
      <c r="A19" s="4">
        <f>ABS((C19-B19)*100/C19)</f>
        <v>6.8079897448530217E-3</v>
      </c>
      <c r="B19" s="4">
        <v>0.97962921857833796</v>
      </c>
      <c r="C19" s="4">
        <v>0.97969591617584195</v>
      </c>
      <c r="D19" s="5"/>
      <c r="L19" s="2"/>
    </row>
    <row r="20" spans="1:12" x14ac:dyDescent="0.35">
      <c r="A20" s="4">
        <f>ABS((C20-B20)*100/C20)</f>
        <v>5.8598248277854162E-3</v>
      </c>
      <c r="B20" s="4">
        <v>0.97846454381942705</v>
      </c>
      <c r="C20" s="4">
        <v>0.97852188348770097</v>
      </c>
      <c r="D20" s="5"/>
      <c r="L20" s="2"/>
    </row>
    <row r="21" spans="1:12" x14ac:dyDescent="0.35">
      <c r="A21" s="4">
        <f>ABS((C21-B21)*100/C21)</f>
        <v>2.0477121180605566E-2</v>
      </c>
      <c r="B21" s="4">
        <v>-0.97761261463165205</v>
      </c>
      <c r="C21" s="4">
        <v>-0.97781284255234102</v>
      </c>
      <c r="D21" s="5" t="s">
        <v>24</v>
      </c>
      <c r="L21" s="2"/>
    </row>
    <row r="22" spans="1:12" x14ac:dyDescent="0.35">
      <c r="A22" s="4">
        <f>ABS((C22-B22)*100/C22)</f>
        <v>2.8899382444319967E-2</v>
      </c>
      <c r="B22" s="4">
        <v>0.97960466146469105</v>
      </c>
      <c r="C22" s="4">
        <v>0.97988784299996501</v>
      </c>
      <c r="D22" s="5"/>
      <c r="L22" s="2"/>
    </row>
    <row r="23" spans="1:12" x14ac:dyDescent="0.35">
      <c r="A23" s="4">
        <f>ABS((C23-B23)*100/C23)</f>
        <v>1.1996887154237097E-2</v>
      </c>
      <c r="B23" s="4">
        <v>-0.97787392139434803</v>
      </c>
      <c r="C23" s="4">
        <v>-0.97799124990097697</v>
      </c>
      <c r="D23" s="5"/>
      <c r="L23" s="2"/>
    </row>
    <row r="24" spans="1:12" x14ac:dyDescent="0.35">
      <c r="A24" s="4">
        <f>ABS((C24-B24)*100/C24)</f>
        <v>2.3546588354356884E-2</v>
      </c>
      <c r="B24" s="4">
        <v>0.97906678915023804</v>
      </c>
      <c r="C24" s="4">
        <v>0.97929738027313595</v>
      </c>
      <c r="D24" s="5"/>
      <c r="L24" s="2"/>
    </row>
    <row r="25" spans="1:12" x14ac:dyDescent="0.35">
      <c r="A25" s="4">
        <f>ABS((C25-B25)*100/C25)</f>
        <v>2.6756420578139432E-2</v>
      </c>
      <c r="B25" s="4">
        <v>0.97822630405426003</v>
      </c>
      <c r="C25" s="4">
        <v>0.97848811244893397</v>
      </c>
      <c r="D25" s="5"/>
      <c r="L25" s="2"/>
    </row>
    <row r="26" spans="1:12" x14ac:dyDescent="0.35">
      <c r="A26" s="4">
        <f>ABS((C26-B26)*100/C26)</f>
        <v>2.0594499386885966E-2</v>
      </c>
      <c r="B26" s="4">
        <v>0.97872829437255804</v>
      </c>
      <c r="C26" s="4">
        <v>0.97892990008482905</v>
      </c>
      <c r="D26" s="5"/>
      <c r="L26" s="2"/>
    </row>
    <row r="27" spans="1:12" x14ac:dyDescent="0.35">
      <c r="A27" s="4">
        <f>ABS((C27-B27)*100/C27)</f>
        <v>2.242941415372111E-2</v>
      </c>
      <c r="B27" s="4">
        <v>-0.97763967514037997</v>
      </c>
      <c r="C27" s="4">
        <v>-0.97785900318604402</v>
      </c>
      <c r="D27" s="5"/>
      <c r="L27" s="2"/>
    </row>
    <row r="28" spans="1:12" x14ac:dyDescent="0.35">
      <c r="A28" s="4">
        <f>ABS((C28-B28)*100/C28)</f>
        <v>2.2502787851101994E-2</v>
      </c>
      <c r="B28" s="4">
        <v>0.97780519723892201</v>
      </c>
      <c r="C28" s="4">
        <v>0.97802528019285395</v>
      </c>
      <c r="D28" s="5"/>
      <c r="L28" s="2"/>
    </row>
    <row r="29" spans="1:12" x14ac:dyDescent="0.35">
      <c r="A29" s="4">
        <f>ABS((C29-B29)*100/C29)</f>
        <v>1.2093540328238901E-2</v>
      </c>
      <c r="B29" s="4">
        <v>-0.97967910766601496</v>
      </c>
      <c r="C29" s="4">
        <v>-0.97979759988389203</v>
      </c>
      <c r="D29" s="5"/>
      <c r="L29" s="2"/>
    </row>
    <row r="30" spans="1:12" x14ac:dyDescent="0.35">
      <c r="A30" s="4">
        <f>ABS((C30-B30)*100/C30)</f>
        <v>5.3698493291368266E-3</v>
      </c>
      <c r="B30" s="4">
        <v>-0.977783322334289</v>
      </c>
      <c r="C30" s="4">
        <v>-0.97783583064508095</v>
      </c>
      <c r="D30" s="5" t="s">
        <v>1</v>
      </c>
      <c r="L30" s="2"/>
    </row>
    <row r="31" spans="1:12" x14ac:dyDescent="0.35">
      <c r="A31" s="4">
        <f>ABS((C31-B31)*100/C31)</f>
        <v>1.265949089708179E-2</v>
      </c>
      <c r="B31" s="4">
        <v>0.97979640960693304</v>
      </c>
      <c r="C31" s="4">
        <v>0.97992046254868803</v>
      </c>
      <c r="D31" s="5"/>
      <c r="L31" s="2"/>
    </row>
    <row r="32" spans="1:12" x14ac:dyDescent="0.35">
      <c r="A32" s="4">
        <f>ABS((C32-B32)*100/C32)</f>
        <v>3.858002666725277E-5</v>
      </c>
      <c r="B32" s="4">
        <v>-0.97835278511047297</v>
      </c>
      <c r="C32" s="4">
        <v>-0.97835316255938398</v>
      </c>
      <c r="D32" s="5"/>
      <c r="L32" s="2"/>
    </row>
    <row r="33" spans="1:12" x14ac:dyDescent="0.35">
      <c r="A33" s="4">
        <f>ABS((C33-B33)*100/C33)</f>
        <v>4.8402093314820586E-3</v>
      </c>
      <c r="B33" s="4">
        <v>0.97910463809966997</v>
      </c>
      <c r="C33" s="4">
        <v>0.97915203110764903</v>
      </c>
      <c r="D33" s="5"/>
      <c r="L33" s="2"/>
    </row>
    <row r="34" spans="1:12" x14ac:dyDescent="0.35">
      <c r="A34" s="4">
        <f>ABS((C34-B34)*100/C34)</f>
        <v>6.6502724262927472E-3</v>
      </c>
      <c r="B34" s="4">
        <v>0.97864580154418901</v>
      </c>
      <c r="C34" s="4">
        <v>0.97871088848453902</v>
      </c>
      <c r="D34" s="5"/>
      <c r="L34" s="2"/>
    </row>
    <row r="35" spans="1:12" x14ac:dyDescent="0.35">
      <c r="A35" s="4">
        <f>ABS((C35-B35)*100/C35)</f>
        <v>4.3980759853709337E-3</v>
      </c>
      <c r="B35" s="4">
        <v>0.97869694232940596</v>
      </c>
      <c r="C35" s="4">
        <v>0.97873998805777995</v>
      </c>
      <c r="D35" s="5"/>
      <c r="L35" s="2"/>
    </row>
    <row r="36" spans="1:12" x14ac:dyDescent="0.35">
      <c r="A36" s="4">
        <f>ABS((C36-B36)*100/C36)</f>
        <v>3.9301602210749095E-3</v>
      </c>
      <c r="B36" s="4">
        <v>-0.97798514366149902</v>
      </c>
      <c r="C36" s="4">
        <v>-0.97802358155525404</v>
      </c>
      <c r="D36" s="5"/>
      <c r="L36" s="2"/>
    </row>
    <row r="37" spans="1:12" x14ac:dyDescent="0.35">
      <c r="A37" s="4">
        <f>ABS((C37-B37)*100/C37)</f>
        <v>5.7771171693713859E-3</v>
      </c>
      <c r="B37" s="4">
        <v>0.97806090116500799</v>
      </c>
      <c r="C37" s="4">
        <v>0.97811740815373105</v>
      </c>
      <c r="D37" s="5"/>
      <c r="L37" s="2"/>
    </row>
    <row r="38" spans="1:12" x14ac:dyDescent="0.35">
      <c r="A38" s="4">
        <f>ABS((C38-B38)*100/C38)</f>
        <v>3.7940580431080793E-4</v>
      </c>
      <c r="B38" s="4">
        <v>-0.97988981008529596</v>
      </c>
      <c r="C38" s="4">
        <v>-0.97988609234058599</v>
      </c>
      <c r="D38" s="5"/>
      <c r="L38" s="2"/>
    </row>
    <row r="39" spans="1:12" x14ac:dyDescent="0.35">
      <c r="A39" s="4">
        <f>AVERAGE(A3:A38)</f>
        <v>1.2873221583094806E-2</v>
      </c>
    </row>
  </sheetData>
  <mergeCells count="5">
    <mergeCell ref="D3:D11"/>
    <mergeCell ref="D21:D29"/>
    <mergeCell ref="D30:D38"/>
    <mergeCell ref="A1:D1"/>
    <mergeCell ref="D12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7EEA-E4D3-4B3E-B4DC-756884BB361D}">
  <dimension ref="A1:N29"/>
  <sheetViews>
    <sheetView topLeftCell="E1" zoomScale="69" zoomScaleNormal="100" workbookViewId="0">
      <selection activeCell="B24" sqref="B24"/>
    </sheetView>
  </sheetViews>
  <sheetFormatPr defaultRowHeight="14.5" x14ac:dyDescent="0.35"/>
  <cols>
    <col min="1" max="1" width="15.26953125" bestFit="1" customWidth="1"/>
    <col min="2" max="2" width="24.6328125" bestFit="1" customWidth="1"/>
    <col min="3" max="3" width="9.36328125" bestFit="1" customWidth="1"/>
    <col min="5" max="5" width="15.26953125" bestFit="1" customWidth="1"/>
    <col min="6" max="6" width="24.6328125" bestFit="1" customWidth="1"/>
    <col min="10" max="10" width="15.6328125" bestFit="1" customWidth="1"/>
    <col min="11" max="11" width="23.26953125" style="4" bestFit="1" customWidth="1"/>
    <col min="12" max="12" width="9.36328125" bestFit="1" customWidth="1"/>
  </cols>
  <sheetData>
    <row r="1" spans="1:14" x14ac:dyDescent="0.35">
      <c r="A1" s="4" t="s">
        <v>4</v>
      </c>
      <c r="B1" s="4" t="s">
        <v>5</v>
      </c>
      <c r="C1" s="4" t="s">
        <v>0</v>
      </c>
      <c r="D1" s="4"/>
      <c r="E1" s="4" t="s">
        <v>4</v>
      </c>
      <c r="F1" s="4" t="s">
        <v>5</v>
      </c>
      <c r="G1" s="4" t="s">
        <v>0</v>
      </c>
      <c r="H1" s="4"/>
      <c r="I1" s="4"/>
      <c r="J1" s="4" t="s">
        <v>43</v>
      </c>
      <c r="K1" s="4" t="s">
        <v>44</v>
      </c>
      <c r="L1" s="4" t="s">
        <v>0</v>
      </c>
      <c r="M1" s="2"/>
    </row>
    <row r="2" spans="1:14" x14ac:dyDescent="0.35">
      <c r="A2" s="4" t="s">
        <v>6</v>
      </c>
      <c r="B2" s="4">
        <v>-0.97761261463165205</v>
      </c>
      <c r="C2" s="5" t="s">
        <v>2</v>
      </c>
      <c r="D2" s="4"/>
      <c r="E2" s="4" t="s">
        <v>15</v>
      </c>
      <c r="F2" s="4">
        <v>0.97666269540786699</v>
      </c>
      <c r="G2" s="5" t="s">
        <v>3</v>
      </c>
      <c r="H2" s="4"/>
      <c r="I2" s="4"/>
      <c r="J2" s="4" t="s">
        <v>45</v>
      </c>
      <c r="K2" s="4">
        <v>0.47519403696060097</v>
      </c>
      <c r="L2" s="4" t="s">
        <v>2</v>
      </c>
      <c r="M2" s="2"/>
    </row>
    <row r="3" spans="1:14" x14ac:dyDescent="0.35">
      <c r="A3" s="4" t="s">
        <v>7</v>
      </c>
      <c r="B3" s="4">
        <v>0.97960466146469105</v>
      </c>
      <c r="C3" s="5"/>
      <c r="D3" s="4"/>
      <c r="E3" s="4" t="s">
        <v>16</v>
      </c>
      <c r="F3" s="4">
        <v>0.97744923830032304</v>
      </c>
      <c r="G3" s="5"/>
      <c r="H3" s="4"/>
      <c r="I3" s="4"/>
      <c r="J3" s="4" t="s">
        <v>46</v>
      </c>
      <c r="K3" s="4">
        <v>0.47513532638549799</v>
      </c>
      <c r="L3" s="4" t="s">
        <v>3</v>
      </c>
      <c r="M3" s="2"/>
    </row>
    <row r="4" spans="1:14" x14ac:dyDescent="0.35">
      <c r="A4" s="4" t="s">
        <v>8</v>
      </c>
      <c r="B4" s="4">
        <v>-0.97787392139434803</v>
      </c>
      <c r="C4" s="5"/>
      <c r="D4" s="4"/>
      <c r="E4" s="4" t="s">
        <v>17</v>
      </c>
      <c r="F4" s="4">
        <v>0.97652149200439398</v>
      </c>
      <c r="G4" s="5"/>
      <c r="H4" s="4"/>
      <c r="I4" s="4"/>
      <c r="J4" s="4"/>
      <c r="L4" s="4"/>
    </row>
    <row r="5" spans="1:14" x14ac:dyDescent="0.35">
      <c r="A5" s="4" t="s">
        <v>9</v>
      </c>
      <c r="B5" s="4">
        <v>0.97906678915023804</v>
      </c>
      <c r="C5" s="5"/>
      <c r="D5" s="4"/>
      <c r="E5" s="4" t="s">
        <v>18</v>
      </c>
      <c r="F5" s="4">
        <v>0.97820919752120905</v>
      </c>
      <c r="G5" s="5"/>
      <c r="H5" s="4"/>
      <c r="I5" s="4"/>
      <c r="J5" s="4"/>
      <c r="L5" s="4"/>
    </row>
    <row r="6" spans="1:14" x14ac:dyDescent="0.35">
      <c r="A6" s="4" t="s">
        <v>10</v>
      </c>
      <c r="B6" s="4">
        <v>0.97822630405426003</v>
      </c>
      <c r="C6" s="5"/>
      <c r="D6" s="4"/>
      <c r="E6" s="4" t="s">
        <v>19</v>
      </c>
      <c r="F6" s="4">
        <v>-0.97823780775070102</v>
      </c>
      <c r="G6" s="5"/>
      <c r="H6" s="4"/>
      <c r="I6" s="4"/>
      <c r="J6" s="4" t="s">
        <v>43</v>
      </c>
      <c r="K6" s="4" t="s">
        <v>44</v>
      </c>
      <c r="L6" s="4" t="s">
        <v>0</v>
      </c>
      <c r="M6" s="2"/>
    </row>
    <row r="7" spans="1:14" x14ac:dyDescent="0.35">
      <c r="A7" s="4" t="s">
        <v>11</v>
      </c>
      <c r="B7" s="4">
        <v>0.97872829437255804</v>
      </c>
      <c r="C7" s="5"/>
      <c r="D7" s="4"/>
      <c r="E7" s="4" t="s">
        <v>20</v>
      </c>
      <c r="F7" s="4">
        <v>0.97889220714569003</v>
      </c>
      <c r="G7" s="5"/>
      <c r="H7" s="4"/>
      <c r="I7" s="4"/>
      <c r="J7" s="4" t="s">
        <v>47</v>
      </c>
      <c r="K7" s="4">
        <v>0.47039383649826</v>
      </c>
      <c r="L7" s="4" t="s">
        <v>24</v>
      </c>
      <c r="M7" s="2"/>
    </row>
    <row r="8" spans="1:14" x14ac:dyDescent="0.35">
      <c r="A8" s="4" t="s">
        <v>12</v>
      </c>
      <c r="B8" s="4">
        <v>-0.97763967514037997</v>
      </c>
      <c r="C8" s="5"/>
      <c r="D8" s="4"/>
      <c r="E8" s="4" t="s">
        <v>21</v>
      </c>
      <c r="F8" s="4">
        <v>0.97774296998977595</v>
      </c>
      <c r="G8" s="5"/>
      <c r="H8" s="4"/>
      <c r="I8" s="4"/>
      <c r="J8" s="4" t="s">
        <v>48</v>
      </c>
      <c r="K8" s="4">
        <v>0.47114229202270502</v>
      </c>
      <c r="L8" s="4" t="s">
        <v>1</v>
      </c>
      <c r="M8" s="2"/>
    </row>
    <row r="9" spans="1:14" x14ac:dyDescent="0.35">
      <c r="A9" s="4" t="s">
        <v>13</v>
      </c>
      <c r="B9" s="4">
        <v>0.97780519723892201</v>
      </c>
      <c r="C9" s="5"/>
      <c r="D9" s="4"/>
      <c r="E9" s="4" t="s">
        <v>22</v>
      </c>
      <c r="F9" s="4">
        <v>0.97962921857833796</v>
      </c>
      <c r="G9" s="5"/>
      <c r="H9" s="4"/>
      <c r="I9" s="4"/>
      <c r="J9" s="4"/>
      <c r="L9" s="4"/>
    </row>
    <row r="10" spans="1:14" x14ac:dyDescent="0.35">
      <c r="A10" s="4" t="s">
        <v>14</v>
      </c>
      <c r="B10" s="4">
        <v>-0.97967910766601496</v>
      </c>
      <c r="C10" s="5"/>
      <c r="D10" s="4"/>
      <c r="E10" s="4" t="s">
        <v>23</v>
      </c>
      <c r="F10" s="4">
        <v>0.97846454381942705</v>
      </c>
      <c r="G10" s="5"/>
      <c r="H10" s="4"/>
      <c r="I10" s="4"/>
      <c r="J10" s="4"/>
      <c r="L10" s="4"/>
      <c r="N10" s="2"/>
    </row>
    <row r="11" spans="1:14" x14ac:dyDescent="0.35">
      <c r="A11" s="4"/>
      <c r="B11" s="4"/>
      <c r="C11" s="4"/>
      <c r="D11" s="4"/>
      <c r="E11" s="4"/>
      <c r="F11" s="4"/>
      <c r="G11" s="4"/>
      <c r="H11" s="4"/>
      <c r="I11" s="4"/>
      <c r="J11" s="4"/>
      <c r="L11" s="2"/>
      <c r="N11" s="2"/>
    </row>
    <row r="12" spans="1:14" x14ac:dyDescent="0.35">
      <c r="A12" s="4" t="s">
        <v>4</v>
      </c>
      <c r="B12" s="4" t="s">
        <v>5</v>
      </c>
      <c r="C12" s="4" t="s">
        <v>0</v>
      </c>
      <c r="D12" s="4"/>
      <c r="E12" s="4" t="s">
        <v>4</v>
      </c>
      <c r="F12" s="4" t="s">
        <v>5</v>
      </c>
      <c r="G12" s="4" t="s">
        <v>0</v>
      </c>
      <c r="H12" s="4"/>
      <c r="I12" s="4"/>
      <c r="J12" s="4"/>
      <c r="L12" s="2"/>
      <c r="M12" s="2"/>
      <c r="N12" s="2"/>
    </row>
    <row r="13" spans="1:14" x14ac:dyDescent="0.35">
      <c r="A13" s="4" t="s">
        <v>25</v>
      </c>
      <c r="B13" s="4">
        <v>-0.977783322334289</v>
      </c>
      <c r="C13" s="5" t="s">
        <v>24</v>
      </c>
      <c r="D13" s="4"/>
      <c r="E13" s="4" t="s">
        <v>34</v>
      </c>
      <c r="F13" s="4">
        <v>-0.977783322334289</v>
      </c>
      <c r="G13" s="5" t="s">
        <v>1</v>
      </c>
      <c r="H13" s="4"/>
      <c r="I13" s="4"/>
      <c r="J13" s="4"/>
      <c r="L13" s="2"/>
      <c r="M13" s="2"/>
      <c r="N13" s="2"/>
    </row>
    <row r="14" spans="1:14" x14ac:dyDescent="0.35">
      <c r="A14" s="4" t="s">
        <v>26</v>
      </c>
      <c r="B14" s="4">
        <v>0.97979640960693304</v>
      </c>
      <c r="C14" s="5"/>
      <c r="D14" s="4"/>
      <c r="E14" s="4" t="s">
        <v>35</v>
      </c>
      <c r="F14" s="4">
        <v>0.97979640960693304</v>
      </c>
      <c r="G14" s="5"/>
      <c r="H14" s="4"/>
      <c r="I14" s="4"/>
      <c r="J14" s="4"/>
      <c r="L14" s="2"/>
      <c r="M14" s="2"/>
      <c r="N14" s="2"/>
    </row>
    <row r="15" spans="1:14" x14ac:dyDescent="0.35">
      <c r="A15" s="4" t="s">
        <v>27</v>
      </c>
      <c r="B15" s="4">
        <v>-0.97835278511047297</v>
      </c>
      <c r="C15" s="5"/>
      <c r="D15" s="4"/>
      <c r="E15" s="4" t="s">
        <v>36</v>
      </c>
      <c r="F15" s="4">
        <v>-0.97835278511047297</v>
      </c>
      <c r="G15" s="5"/>
      <c r="H15" s="4"/>
      <c r="I15" s="4"/>
      <c r="J15" s="4"/>
      <c r="L15" s="2"/>
      <c r="M15" s="2"/>
      <c r="N15" s="2"/>
    </row>
    <row r="16" spans="1:14" x14ac:dyDescent="0.35">
      <c r="A16" s="4" t="s">
        <v>28</v>
      </c>
      <c r="B16" s="4">
        <v>0.97910463809966997</v>
      </c>
      <c r="C16" s="5"/>
      <c r="D16" s="4"/>
      <c r="E16" s="4" t="s">
        <v>37</v>
      </c>
      <c r="F16" s="4">
        <v>0.97910463809966997</v>
      </c>
      <c r="G16" s="5"/>
      <c r="H16" s="4"/>
      <c r="I16" s="4"/>
      <c r="J16" s="4"/>
      <c r="L16" s="2"/>
      <c r="M16" s="2"/>
      <c r="N16" s="2"/>
    </row>
    <row r="17" spans="1:14" x14ac:dyDescent="0.35">
      <c r="A17" s="4" t="s">
        <v>29</v>
      </c>
      <c r="B17" s="4">
        <v>0.97864580154418901</v>
      </c>
      <c r="C17" s="5"/>
      <c r="D17" s="4"/>
      <c r="E17" s="4" t="s">
        <v>38</v>
      </c>
      <c r="F17" s="4">
        <v>0.97864580154418901</v>
      </c>
      <c r="G17" s="5"/>
      <c r="H17" s="4"/>
      <c r="I17" s="4"/>
      <c r="J17" s="4"/>
      <c r="L17" s="2"/>
      <c r="M17" s="2"/>
      <c r="N17" s="2"/>
    </row>
    <row r="18" spans="1:14" x14ac:dyDescent="0.35">
      <c r="A18" s="4" t="s">
        <v>30</v>
      </c>
      <c r="B18" s="4">
        <v>0.97869694232940596</v>
      </c>
      <c r="C18" s="5"/>
      <c r="D18" s="4"/>
      <c r="E18" s="4" t="s">
        <v>39</v>
      </c>
      <c r="F18" s="4">
        <v>0.97869694232940596</v>
      </c>
      <c r="G18" s="5"/>
      <c r="H18" s="4"/>
      <c r="I18" s="4"/>
      <c r="J18" s="4"/>
      <c r="L18" s="2"/>
      <c r="M18" s="2"/>
      <c r="N18" s="2"/>
    </row>
    <row r="19" spans="1:14" x14ac:dyDescent="0.35">
      <c r="A19" s="4" t="s">
        <v>31</v>
      </c>
      <c r="B19" s="4">
        <v>-0.97798514366149902</v>
      </c>
      <c r="C19" s="5"/>
      <c r="D19" s="4"/>
      <c r="E19" s="4" t="s">
        <v>40</v>
      </c>
      <c r="F19" s="4">
        <v>-0.97798514366149902</v>
      </c>
      <c r="G19" s="5"/>
      <c r="H19" s="4"/>
      <c r="I19" s="4"/>
      <c r="J19" s="4"/>
      <c r="L19" s="2"/>
      <c r="M19" s="2"/>
    </row>
    <row r="20" spans="1:14" x14ac:dyDescent="0.35">
      <c r="A20" s="4" t="s">
        <v>32</v>
      </c>
      <c r="B20" s="4">
        <v>0.97806090116500799</v>
      </c>
      <c r="C20" s="5"/>
      <c r="D20" s="4"/>
      <c r="E20" s="4" t="s">
        <v>41</v>
      </c>
      <c r="F20" s="4">
        <v>0.97806090116500799</v>
      </c>
      <c r="G20" s="5"/>
      <c r="H20" s="4"/>
      <c r="I20" s="4"/>
      <c r="J20" s="4"/>
      <c r="L20" s="2"/>
      <c r="M20" s="2"/>
    </row>
    <row r="21" spans="1:14" x14ac:dyDescent="0.35">
      <c r="A21" s="4" t="s">
        <v>33</v>
      </c>
      <c r="B21" s="4">
        <v>-0.97988981008529596</v>
      </c>
      <c r="C21" s="5"/>
      <c r="D21" s="4"/>
      <c r="E21" s="4" t="s">
        <v>42</v>
      </c>
      <c r="F21" s="4">
        <v>-0.97988981008529596</v>
      </c>
      <c r="G21" s="5"/>
      <c r="H21" s="4"/>
      <c r="I21" s="4"/>
      <c r="J21" s="4"/>
      <c r="L21" s="2"/>
    </row>
    <row r="22" spans="1:14" x14ac:dyDescent="0.35">
      <c r="L22" s="2"/>
    </row>
    <row r="23" spans="1:14" x14ac:dyDescent="0.35">
      <c r="L23" s="2"/>
    </row>
    <row r="24" spans="1:14" x14ac:dyDescent="0.35">
      <c r="L24" s="2"/>
    </row>
    <row r="25" spans="1:14" x14ac:dyDescent="0.35">
      <c r="L25" s="2"/>
    </row>
    <row r="26" spans="1:14" x14ac:dyDescent="0.35">
      <c r="L26" s="2"/>
    </row>
    <row r="27" spans="1:14" x14ac:dyDescent="0.35">
      <c r="L27" s="2"/>
    </row>
    <row r="28" spans="1:14" x14ac:dyDescent="0.35">
      <c r="L28" s="2"/>
    </row>
    <row r="29" spans="1:14" x14ac:dyDescent="0.35">
      <c r="L29" s="2"/>
    </row>
  </sheetData>
  <mergeCells count="4">
    <mergeCell ref="G2:G10"/>
    <mergeCell ref="C2:C10"/>
    <mergeCell ref="C13:C21"/>
    <mergeCell ref="G13:G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Perbandingan_Data</vt:lpstr>
      <vt:lpstr>Hasil_Data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Falih Rosyidi</dc:creator>
  <cp:lastModifiedBy>Muhammad Falih Rosyidi</cp:lastModifiedBy>
  <dcterms:created xsi:type="dcterms:W3CDTF">2025-12-20T14:41:40Z</dcterms:created>
  <dcterms:modified xsi:type="dcterms:W3CDTF">2025-12-20T16:15:33Z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2025-12-20T14:41:41Z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5873182f-ff26-42f6-885d-53fd28664b4a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